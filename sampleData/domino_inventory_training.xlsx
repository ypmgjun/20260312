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3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ide" sheetId="1" r:id="rId1"/>
    <sheet name="Suppliers" sheetId="2" r:id="rId2"/>
    <sheet name="Inventory" sheetId="3" r:id="rId3"/>
    <sheet name="OrderSummary" sheetId="4" r:id="rId4"/>
    <sheet name="EmailTemplate" sheetId="5" r:id="rId5"/>
  </sheets>
  <definedNames>
    <definedName name="_xlnm._FilterDatabase" localSheetId="2" hidden="1">Inventory!$A$1:$O$11</definedName>
  </definedNames>
</workbook>
</file>

<file path=xl/comments3.xml><?xml version="1.0" encoding="utf-8"?>
<comments xmlns="http://schemas.openxmlformats.org/spreadsheetml/2006/main">
  <authors>
    <author>OpenAI</author>
  </authors>
  <commentList>
    <comment ref="M1" authorId="0">
      <text>
        <t>발주권장수량 = 현재재고가 안전재고보다 적으면 MAX(MOQ, 부족수량)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liszzm@naver.com" TargetMode="External"/><Relationship Id="rId2" Type="http://schemas.openxmlformats.org/officeDocument/2006/relationships/hyperlink" Target="mailto:liszzm@naver.com" TargetMode="External"/><Relationship Id="rId3" Type="http://schemas.openxmlformats.org/officeDocument/2006/relationships/hyperlink" Target="mailto:liszzm@naver.com" TargetMode="External"/><Relationship Id="rId4" Type="http://schemas.openxmlformats.org/officeDocument/2006/relationships/hyperlink" Target="mailto:liszzm@naver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workbookViewId="0" rightToLeft="0"/>
  </sheetViews>
  <sheetData>
    <row r="1">
      <c r="A1" t="str">
        <v>도미노피자 재고·발주 자동화 패키지</v>
      </c>
    </row>
    <row r="3">
      <c r="A3" t="str">
        <v>패키지 사용 안내</v>
      </c>
    </row>
    <row r="5">
      <c r="A5" t="str">
        <v>실습 목표</v>
      </c>
      <c r="B5" t="str">
        <v>재고를 확인하고, 재고 부족 품목을 찾고, 담당자에게 알림을 보여준 뒤 발주서와 이메일 초안을 만드는 MVP를 구현합니다.</v>
      </c>
    </row>
    <row r="6">
      <c r="A6" t="str">
        <v>재고 부족 기준</v>
      </c>
      <c r="B6" t="str">
        <v>현재재고 &lt; 안전재고</v>
      </c>
    </row>
    <row r="7">
      <c r="A7" t="str">
        <v>발주 권장 수량</v>
      </c>
      <c r="B7" t="str">
        <v>현재재고가 안전재고보다 적으면 MAX(MOQ, 안전재고-현재재고)</v>
      </c>
    </row>
    <row r="10">
      <c r="A10" t="str">
        <v>재료 10개</v>
      </c>
    </row>
    <row r="11">
      <c r="A11">
        <v>1</v>
      </c>
      <c r="B11" t="str">
        <v>도우볼</v>
      </c>
      <c r="D11" t="str">
        <v>주의</v>
      </c>
    </row>
    <row r="12">
      <c r="A12">
        <v>2</v>
      </c>
      <c r="B12" t="str">
        <v>토마토소스</v>
      </c>
    </row>
    <row r="13">
      <c r="A13">
        <v>3</v>
      </c>
      <c r="B13" t="str">
        <v>모짜렐라치즈</v>
      </c>
    </row>
    <row r="14">
      <c r="A14">
        <v>4</v>
      </c>
      <c r="B14" t="str">
        <v>페퍼로니</v>
      </c>
    </row>
    <row r="15">
      <c r="A15">
        <v>5</v>
      </c>
      <c r="B15" t="str">
        <v>베이컨</v>
      </c>
    </row>
    <row r="16">
      <c r="A16">
        <v>6</v>
      </c>
      <c r="B16" t="str">
        <v>양파</v>
      </c>
    </row>
    <row r="17">
      <c r="A17">
        <v>7</v>
      </c>
      <c r="B17" t="str">
        <v>피망</v>
      </c>
    </row>
    <row r="18">
      <c r="A18">
        <v>8</v>
      </c>
      <c r="B18" t="str">
        <v>양송이버섯</v>
      </c>
    </row>
    <row r="19">
      <c r="A19">
        <v>9</v>
      </c>
      <c r="B19" t="str">
        <v>블랙올리브</v>
      </c>
    </row>
    <row r="20">
      <c r="A20">
        <v>10</v>
      </c>
      <c r="B20" t="str">
        <v>스위트콘</v>
      </c>
    </row>
  </sheetData>
  <mergeCells count="7">
    <mergeCell ref="A1:H1"/>
    <mergeCell ref="B5:H5"/>
    <mergeCell ref="E11:H11"/>
    <mergeCell ref="B7:H7"/>
    <mergeCell ref="A3:H3"/>
    <mergeCell ref="A10:H10"/>
    <mergeCell ref="B6:H6"/>
  </mergeCells>
  <pageMargins left="0.7" right="0.7" top="0.75" bottom="0.75" header="0.3" footer="0.3"/>
  <ignoredErrors>
    <ignoredError numberStoredAsText="1" sqref="A1:H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 rightToLeft="0"/>
  </sheetViews>
  <sheetData>
    <row r="1">
      <c r="A1" t="str">
        <v>거래처명</v>
      </c>
      <c r="B1" t="str">
        <v>담당자</v>
      </c>
      <c r="C1" t="str">
        <v>이메일</v>
      </c>
      <c r="D1" t="str">
        <v>리드타임(일)</v>
      </c>
      <c r="E1" t="str">
        <v>품목군</v>
      </c>
    </row>
    <row r="2">
      <c r="A2" t="str">
        <v>도미노푸드서플라이</v>
      </c>
      <c r="B2" t="str">
        <v>박지훈</v>
      </c>
      <c r="C2" t="str">
        <v>chonf.yjji@gmail.com</v>
      </c>
      <c r="D2">
        <v>2</v>
      </c>
      <c r="E2" t="str">
        <v>도우/소스/치즈</v>
      </c>
    </row>
    <row r="3">
      <c r="A3" t="str">
        <v>프레시미트코리아</v>
      </c>
      <c r="B3" t="str">
        <v>김현우</v>
      </c>
      <c r="C3" t="str">
        <v>chonf.yjji@gmail.com</v>
      </c>
      <c r="D3">
        <v>3</v>
      </c>
      <c r="E3" t="str">
        <v>페퍼로니/베이컨</v>
      </c>
    </row>
    <row r="4">
      <c r="A4" t="str">
        <v>그린베지유통</v>
      </c>
      <c r="B4" t="str">
        <v>이수진</v>
      </c>
      <c r="C4" t="str">
        <v>chonf.yjji@gmail.com</v>
      </c>
      <c r="D4">
        <v>1</v>
      </c>
      <c r="E4" t="str">
        <v>양파/피망/버섯</v>
      </c>
    </row>
    <row r="5">
      <c r="A5" t="str">
        <v>토핑솔루션</v>
      </c>
      <c r="B5" t="str">
        <v>정민아</v>
      </c>
      <c r="C5" t="str">
        <v>chonf.yjji@gmail.com</v>
      </c>
      <c r="D5">
        <v>2</v>
      </c>
      <c r="E5" t="str">
        <v>올리브/콘</v>
      </c>
    </row>
  </sheetData>
  <hyperlinks>
    <hyperlink ref="C2" r:id="rId1"/>
    <hyperlink ref="C3" r:id="rId2"/>
    <hyperlink ref="C4" r:id="rId3"/>
    <hyperlink ref="C5" r:id="rId4"/>
  </hyperlinks>
  <pageMargins left="0.7" right="0.7" top="0.75" bottom="0.75" header="0.3" footer="0.3"/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11"/>
  <sheetViews>
    <sheetView workbookViewId="0" rightToLeft="0"/>
  </sheetViews>
  <sheetData>
    <row r="1">
      <c r="A1" t="str">
        <v>품목코드</v>
      </c>
      <c r="B1" t="str">
        <v>재료명</v>
      </c>
      <c r="C1" t="str">
        <v>규격</v>
      </c>
      <c r="D1" t="str">
        <v>단위</v>
      </c>
      <c r="E1" t="str">
        <v>현재재고</v>
      </c>
      <c r="F1" t="str">
        <v>안전재고</v>
      </c>
      <c r="G1" t="str">
        <v>MOQ</v>
      </c>
      <c r="H1" t="str">
        <v>거래처</v>
      </c>
      <c r="I1" t="str">
        <v>알림담당자</v>
      </c>
      <c r="J1" t="str">
        <v>거래처이메일</v>
      </c>
      <c r="K1" t="str">
        <v>리드타임(일)</v>
      </c>
      <c r="L1" t="str">
        <v>부족수량</v>
      </c>
      <c r="M1" t="str">
        <v>발주권장수량</v>
      </c>
      <c r="N1" t="str">
        <v>상태</v>
      </c>
      <c r="O1" t="str">
        <v>담당자알림메시지</v>
      </c>
    </row>
    <row r="2">
      <c r="A2" t="str">
        <v>ING001</v>
      </c>
      <c r="B2" t="str">
        <v>도우볼</v>
      </c>
      <c r="C2" t="str">
        <v>220g</v>
      </c>
      <c r="D2" t="str">
        <v>개</v>
      </c>
      <c r="E2">
        <v>120</v>
      </c>
      <c r="F2">
        <v>180</v>
      </c>
      <c r="G2">
        <v>100</v>
      </c>
      <c r="H2" t="str">
        <v>도미노푸드서플라이</v>
      </c>
      <c r="I2" t="str">
        <v>점포 운영매니저</v>
      </c>
      <c r="J2" t="str">
        <f>VLOOKUP(H2,Suppliers!$A$2:$E$10,3,FALSE)</f>
        <v>liszzm@naver.com</v>
      </c>
      <c r="K2">
        <f>VLOOKUP(H2,Suppliers!$A$2:$E$10,4,FALSE)</f>
        <v>2</v>
      </c>
      <c r="L2">
        <f>MAX(F2-E2,0)</f>
        <v>60</v>
      </c>
      <c r="M2">
        <f>IF(E2&lt;F2,MAX(G2,L2),0)</f>
        <v>100</v>
      </c>
      <c r="N2" t="str">
        <f>IF(E2&lt;F2,"발주 필요","정상")</f>
        <v>발주 필요</v>
      </c>
      <c r="O2" t="str">
        <f>IF(N2="발주 필요",B2&amp;" 재고 부족 - 현재 "&amp;TEXT(E2,"0")&amp;D2&amp;", 안전재고 "&amp;TEXT(F2,"0")&amp;D2&amp;", 권장발주 "&amp;TEXT(M2,"0")&amp;D2,"")</f>
        <v>도우볼 재고 부족 - 현재 120개, 안전재고 180개, 권장발주 100개</v>
      </c>
    </row>
    <row r="3">
      <c r="A3" t="str">
        <v>ING002</v>
      </c>
      <c r="B3" t="str">
        <v>토마토소스</v>
      </c>
      <c r="C3" t="str">
        <v>3kg</v>
      </c>
      <c r="D3" t="str">
        <v>팩</v>
      </c>
      <c r="E3">
        <v>32</v>
      </c>
      <c r="F3">
        <v>20</v>
      </c>
      <c r="G3">
        <v>10</v>
      </c>
      <c r="H3" t="str">
        <v>도미노푸드서플라이</v>
      </c>
      <c r="I3" t="str">
        <v>점포 운영매니저</v>
      </c>
      <c r="J3" t="str">
        <f>VLOOKUP(H3,Suppliers!$A$2:$E$10,3,FALSE)</f>
        <v>liszzm@naver.com</v>
      </c>
      <c r="K3">
        <f>VLOOKUP(H3,Suppliers!$A$2:$E$10,4,FALSE)</f>
        <v>2</v>
      </c>
      <c r="L3">
        <f>MAX(F3-E3,0)</f>
        <v>0</v>
      </c>
      <c r="M3">
        <f>IF(E3&lt;F3,MAX(G3,L3),0)</f>
        <v>0</v>
      </c>
      <c r="N3" t="str">
        <f>IF(E3&lt;F3,"발주 필요","정상")</f>
        <v>정상</v>
      </c>
      <c r="O3" t="str">
        <f>IF(N3="발주 필요",B3&amp;" 재고 부족 - 현재 "&amp;TEXT(E3,"0")&amp;D3&amp;", 안전재고 "&amp;TEXT(F3,"0")&amp;D3&amp;", 권장발주 "&amp;TEXT(M3,"0")&amp;D3,"")</f>
        <v/>
      </c>
    </row>
    <row r="4">
      <c r="A4" t="str">
        <v>ING003</v>
      </c>
      <c r="B4" t="str">
        <v>모짜렐라치즈</v>
      </c>
      <c r="C4" t="str">
        <v>2kg</v>
      </c>
      <c r="D4" t="str">
        <v>봉</v>
      </c>
      <c r="E4">
        <v>12</v>
      </c>
      <c r="F4">
        <v>18</v>
      </c>
      <c r="G4">
        <v>10</v>
      </c>
      <c r="H4" t="str">
        <v>도미노푸드서플라이</v>
      </c>
      <c r="I4" t="str">
        <v>점포 운영매니저</v>
      </c>
      <c r="J4" t="str">
        <f>VLOOKUP(H4,Suppliers!$A$2:$E$10,3,FALSE)</f>
        <v>liszzm@naver.com</v>
      </c>
      <c r="K4">
        <f>VLOOKUP(H4,Suppliers!$A$2:$E$10,4,FALSE)</f>
        <v>2</v>
      </c>
      <c r="L4">
        <f>MAX(F4-E4,0)</f>
        <v>6</v>
      </c>
      <c r="M4">
        <f>IF(E4&lt;F4,MAX(G4,L4),0)</f>
        <v>10</v>
      </c>
      <c r="N4" t="str">
        <f>IF(E4&lt;F4,"발주 필요","정상")</f>
        <v>발주 필요</v>
      </c>
      <c r="O4" t="str">
        <f>IF(N4="발주 필요",B4&amp;" 재고 부족 - 현재 "&amp;TEXT(E4,"0")&amp;D4&amp;", 안전재고 "&amp;TEXT(F4,"0")&amp;D4&amp;", 권장발주 "&amp;TEXT(M4,"0")&amp;D4,"")</f>
        <v>모짜렐라치즈 재고 부족 - 현재 12봉, 안전재고 18봉, 권장발주 10봉</v>
      </c>
    </row>
    <row r="5">
      <c r="A5" t="str">
        <v>ING004</v>
      </c>
      <c r="B5" t="str">
        <v>페퍼로니</v>
      </c>
      <c r="C5" t="str">
        <v>1kg</v>
      </c>
      <c r="D5" t="str">
        <v>팩</v>
      </c>
      <c r="E5">
        <v>15</v>
      </c>
      <c r="F5">
        <v>12</v>
      </c>
      <c r="G5">
        <v>8</v>
      </c>
      <c r="H5" t="str">
        <v>프레시미트코리아</v>
      </c>
      <c r="I5" t="str">
        <v>점포 운영매니저</v>
      </c>
      <c r="J5" t="str">
        <f>VLOOKUP(H5,Suppliers!$A$2:$E$10,3,FALSE)</f>
        <v>liszzm@naver.com</v>
      </c>
      <c r="K5">
        <f>VLOOKUP(H5,Suppliers!$A$2:$E$10,4,FALSE)</f>
        <v>3</v>
      </c>
      <c r="L5">
        <f>MAX(F5-E5,0)</f>
        <v>0</v>
      </c>
      <c r="M5">
        <f>IF(E5&lt;F5,MAX(G5,L5),0)</f>
        <v>0</v>
      </c>
      <c r="N5" t="str">
        <f>IF(E5&lt;F5,"발주 필요","정상")</f>
        <v>정상</v>
      </c>
      <c r="O5" t="str">
        <f>IF(N5="발주 필요",B5&amp;" 재고 부족 - 현재 "&amp;TEXT(E5,"0")&amp;D5&amp;", 안전재고 "&amp;TEXT(F5,"0")&amp;D5&amp;", 권장발주 "&amp;TEXT(M5,"0")&amp;D5,"")</f>
        <v/>
      </c>
    </row>
    <row r="6">
      <c r="A6" t="str">
        <v>ING005</v>
      </c>
      <c r="B6" t="str">
        <v>베이컨</v>
      </c>
      <c r="C6" t="str">
        <v>1kg</v>
      </c>
      <c r="D6" t="str">
        <v>팩</v>
      </c>
      <c r="E6">
        <v>6</v>
      </c>
      <c r="F6">
        <v>10</v>
      </c>
      <c r="G6">
        <v>10</v>
      </c>
      <c r="H6" t="str">
        <v>프레시미트코리아</v>
      </c>
      <c r="I6" t="str">
        <v>점포 운영매니저</v>
      </c>
      <c r="J6" t="str">
        <f>VLOOKUP(H6,Suppliers!$A$2:$E$10,3,FALSE)</f>
        <v>liszzm@naver.com</v>
      </c>
      <c r="K6">
        <f>VLOOKUP(H6,Suppliers!$A$2:$E$10,4,FALSE)</f>
        <v>3</v>
      </c>
      <c r="L6">
        <f>MAX(F6-E6,0)</f>
        <v>4</v>
      </c>
      <c r="M6">
        <f>IF(E6&lt;F6,MAX(G6,L6),0)</f>
        <v>10</v>
      </c>
      <c r="N6" t="str">
        <f>IF(E6&lt;F6,"발주 필요","정상")</f>
        <v>발주 필요</v>
      </c>
      <c r="O6" t="str">
        <f>IF(N6="발주 필요",B6&amp;" 재고 부족 - 현재 "&amp;TEXT(E6,"0")&amp;D6&amp;", 안전재고 "&amp;TEXT(F6,"0")&amp;D6&amp;", 권장발주 "&amp;TEXT(M6,"0")&amp;D6,"")</f>
        <v>베이컨 재고 부족 - 현재 6팩, 안전재고 10팩, 권장발주 10팩</v>
      </c>
    </row>
    <row r="7">
      <c r="A7" t="str">
        <v>ING006</v>
      </c>
      <c r="B7" t="str">
        <v>양파</v>
      </c>
      <c r="C7" t="str">
        <v>5kg</v>
      </c>
      <c r="D7" t="str">
        <v>봉</v>
      </c>
      <c r="E7">
        <v>14</v>
      </c>
      <c r="F7">
        <v>12</v>
      </c>
      <c r="G7">
        <v>6</v>
      </c>
      <c r="H7" t="str">
        <v>그린베지유통</v>
      </c>
      <c r="I7" t="str">
        <v>점포 운영매니저</v>
      </c>
      <c r="J7" t="str">
        <f>VLOOKUP(H7,Suppliers!$A$2:$E$10,3,FALSE)</f>
        <v>liszzm@naver.com</v>
      </c>
      <c r="K7">
        <f>VLOOKUP(H7,Suppliers!$A$2:$E$10,4,FALSE)</f>
        <v>1</v>
      </c>
      <c r="L7">
        <f>MAX(F7-E7,0)</f>
        <v>0</v>
      </c>
      <c r="M7">
        <f>IF(E7&lt;F7,MAX(G7,L7),0)</f>
        <v>0</v>
      </c>
      <c r="N7" t="str">
        <f>IF(E7&lt;F7,"발주 필요","정상")</f>
        <v>정상</v>
      </c>
      <c r="O7" t="str">
        <f>IF(N7="발주 필요",B7&amp;" 재고 부족 - 현재 "&amp;TEXT(E7,"0")&amp;D7&amp;", 안전재고 "&amp;TEXT(F7,"0")&amp;D7&amp;", 권장발주 "&amp;TEXT(M7,"0")&amp;D7,"")</f>
        <v/>
      </c>
    </row>
    <row r="8">
      <c r="A8" t="str">
        <v>ING007</v>
      </c>
      <c r="B8" t="str">
        <v>피망</v>
      </c>
      <c r="C8" t="str">
        <v>5kg</v>
      </c>
      <c r="D8" t="str">
        <v>봉</v>
      </c>
      <c r="E8">
        <v>5</v>
      </c>
      <c r="F8">
        <v>8</v>
      </c>
      <c r="G8">
        <v>5</v>
      </c>
      <c r="H8" t="str">
        <v>그린베지유통</v>
      </c>
      <c r="I8" t="str">
        <v>점포 운영매니저</v>
      </c>
      <c r="J8" t="str">
        <f>VLOOKUP(H8,Suppliers!$A$2:$E$10,3,FALSE)</f>
        <v>liszzm@naver.com</v>
      </c>
      <c r="K8">
        <f>VLOOKUP(H8,Suppliers!$A$2:$E$10,4,FALSE)</f>
        <v>1</v>
      </c>
      <c r="L8">
        <f>MAX(F8-E8,0)</f>
        <v>3</v>
      </c>
      <c r="M8">
        <f>IF(E8&lt;F8,MAX(G8,L8),0)</f>
        <v>5</v>
      </c>
      <c r="N8" t="str">
        <f>IF(E8&lt;F8,"발주 필요","정상")</f>
        <v>발주 필요</v>
      </c>
      <c r="O8" t="str">
        <f>IF(N8="발주 필요",B8&amp;" 재고 부족 - 현재 "&amp;TEXT(E8,"0")&amp;D8&amp;", 안전재고 "&amp;TEXT(F8,"0")&amp;D8&amp;", 권장발주 "&amp;TEXT(M8,"0")&amp;D8,"")</f>
        <v>피망 재고 부족 - 현재 5봉, 안전재고 8봉, 권장발주 5봉</v>
      </c>
    </row>
    <row r="9">
      <c r="A9" t="str">
        <v>ING008</v>
      </c>
      <c r="B9" t="str">
        <v>양송이버섯</v>
      </c>
      <c r="C9" t="str">
        <v>2.5kg</v>
      </c>
      <c r="D9" t="str">
        <v>캔</v>
      </c>
      <c r="E9">
        <v>3</v>
      </c>
      <c r="F9">
        <v>6</v>
      </c>
      <c r="G9">
        <v>6</v>
      </c>
      <c r="H9" t="str">
        <v>그린베지유통</v>
      </c>
      <c r="I9" t="str">
        <v>점포 운영매니저</v>
      </c>
      <c r="J9" t="str">
        <f>VLOOKUP(H9,Suppliers!$A$2:$E$10,3,FALSE)</f>
        <v>liszzm@naver.com</v>
      </c>
      <c r="K9">
        <f>VLOOKUP(H9,Suppliers!$A$2:$E$10,4,FALSE)</f>
        <v>1</v>
      </c>
      <c r="L9">
        <f>MAX(F9-E9,0)</f>
        <v>3</v>
      </c>
      <c r="M9">
        <f>IF(E9&lt;F9,MAX(G9,L9),0)</f>
        <v>6</v>
      </c>
      <c r="N9" t="str">
        <f>IF(E9&lt;F9,"발주 필요","정상")</f>
        <v>발주 필요</v>
      </c>
      <c r="O9" t="str">
        <f>IF(N9="발주 필요",B9&amp;" 재고 부족 - 현재 "&amp;TEXT(E9,"0")&amp;D9&amp;", 안전재고 "&amp;TEXT(F9,"0")&amp;D9&amp;", 권장발주 "&amp;TEXT(M9,"0")&amp;D9,"")</f>
        <v>양송이버섯 재고 부족 - 현재 3캔, 안전재고 6캔, 권장발주 6캔</v>
      </c>
    </row>
    <row r="10">
      <c r="A10" t="str">
        <v>ING009</v>
      </c>
      <c r="B10" t="str">
        <v>블랙올리브</v>
      </c>
      <c r="C10" t="str">
        <v>3kg</v>
      </c>
      <c r="D10" t="str">
        <v>캔</v>
      </c>
      <c r="E10">
        <v>9</v>
      </c>
      <c r="F10">
        <v>8</v>
      </c>
      <c r="G10">
        <v>4</v>
      </c>
      <c r="H10" t="str">
        <v>토핑솔루션</v>
      </c>
      <c r="I10" t="str">
        <v>점포 운영매니저</v>
      </c>
      <c r="J10" t="str">
        <f>VLOOKUP(H10,Suppliers!$A$2:$E$10,3,FALSE)</f>
        <v>liszzm@naver.com</v>
      </c>
      <c r="K10">
        <f>VLOOKUP(H10,Suppliers!$A$2:$E$10,4,FALSE)</f>
        <v>2</v>
      </c>
      <c r="L10">
        <f>MAX(F10-E10,0)</f>
        <v>0</v>
      </c>
      <c r="M10">
        <f>IF(E10&lt;F10,MAX(G10,L10),0)</f>
        <v>0</v>
      </c>
      <c r="N10" t="str">
        <f>IF(E10&lt;F10,"발주 필요","정상")</f>
        <v>정상</v>
      </c>
      <c r="O10" t="str">
        <f>IF(N10="발주 필요",B10&amp;" 재고 부족 - 현재 "&amp;TEXT(E10,"0")&amp;D10&amp;", 안전재고 "&amp;TEXT(F10,"0")&amp;D10&amp;", 권장발주 "&amp;TEXT(M10,"0")&amp;D10,"")</f>
        <v/>
      </c>
    </row>
    <row r="11">
      <c r="A11" t="str">
        <v>ING010</v>
      </c>
      <c r="B11" t="str">
        <v>스위트콘</v>
      </c>
      <c r="C11" t="str">
        <v>3kg</v>
      </c>
      <c r="D11" t="str">
        <v>캔</v>
      </c>
      <c r="E11">
        <v>4</v>
      </c>
      <c r="F11">
        <v>5</v>
      </c>
      <c r="G11">
        <v>6</v>
      </c>
      <c r="H11" t="str">
        <v>토핑솔루션</v>
      </c>
      <c r="I11" t="str">
        <v>점포 운영매니저</v>
      </c>
      <c r="J11" t="str">
        <f>VLOOKUP(H11,Suppliers!$A$2:$E$10,3,FALSE)</f>
        <v>liszzm@naver.com</v>
      </c>
      <c r="K11">
        <f>VLOOKUP(H11,Suppliers!$A$2:$E$10,4,FALSE)</f>
        <v>2</v>
      </c>
      <c r="L11">
        <f>MAX(F11-E11,0)</f>
        <v>1</v>
      </c>
      <c r="M11">
        <f>IF(E11&lt;F11,MAX(G11,L11),0)</f>
        <v>6</v>
      </c>
      <c r="N11" t="str">
        <f>IF(E11&lt;F11,"발주 필요","정상")</f>
        <v>발주 필요</v>
      </c>
      <c r="O11" t="str">
        <f>IF(N11="발주 필요",B11&amp;" 재고 부족 - 현재 "&amp;TEXT(E11,"0")&amp;D11&amp;", 안전재고 "&amp;TEXT(F11,"0")&amp;D11&amp;", 권장발주 "&amp;TEXT(M11,"0")&amp;D11,"")</f>
        <v>스위트콘 재고 부족 - 현재 4캔, 안전재고 5캔, 권장발주 6캔</v>
      </c>
    </row>
  </sheetData>
  <pageMargins left="0.7" right="0.7" top="0.75" bottom="0.75" header="0.3" footer="0.3"/>
  <ignoredErrors>
    <ignoredError numberStoredAsText="1" sqref="A1:O1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4"/>
  <sheetViews>
    <sheetView workbookViewId="0" rightToLeft="0"/>
  </sheetViews>
  <sheetData>
    <row r="1">
      <c r="A1" t="str">
        <v>도미노피자 발주 요약</v>
      </c>
    </row>
    <row r="3">
      <c r="A3" t="str">
        <v>총 품목 수</v>
      </c>
      <c r="B3">
        <f>COUNTA(Inventory!A2:A11)</f>
        <v>10</v>
      </c>
    </row>
    <row r="4">
      <c r="A4" t="str">
        <v>발주 필요 품목 수</v>
      </c>
      <c r="B4">
        <f>COUNTIF(Inventory!N2:N11,"발주 필요")</f>
        <v>6</v>
      </c>
    </row>
    <row r="5">
      <c r="A5" t="str">
        <v>전체 권장 발주 수량</v>
      </c>
      <c r="B5">
        <f>SUM(Inventory!M2:M11)</f>
        <v>137</v>
      </c>
    </row>
    <row r="6">
      <c r="A6" t="str">
        <v>오늘 상태</v>
      </c>
      <c r="B6" t="str">
        <f>IF(B4&gt;0,"담당자 확인 필요","정상")</f>
        <v>담당자 확인 필요</v>
      </c>
    </row>
    <row r="8">
      <c r="A8" t="str">
        <v>거래처별 발주 필요 현황</v>
      </c>
    </row>
    <row r="10">
      <c r="A10" t="str">
        <v>거래처명</v>
      </c>
      <c r="B10" t="str">
        <v>발주 필요 품목 수</v>
      </c>
      <c r="C10" t="str">
        <v>총 권장 발주 수량</v>
      </c>
      <c r="D10" t="str">
        <v>담당자 이메일</v>
      </c>
      <c r="E10" t="str">
        <v>리드타임(일)</v>
      </c>
    </row>
    <row r="11">
      <c r="A11" t="str">
        <v>도미노푸드서플라이</v>
      </c>
      <c r="B11">
        <f>COUNTIFS(Inventory!$H$2:$H$11,A11,Inventory!$N$2:$N$11,"발주 필요")</f>
        <v>2</v>
      </c>
      <c r="C11">
        <f>SUMIFS(Inventory!$M$2:$M$11,Inventory!$H$2:$H$11,A11,Inventory!$N$2:$N$11,"발주 필요")</f>
        <v>110</v>
      </c>
      <c r="D11" t="str">
        <f>VLOOKUP(A11,Suppliers!$A$2:$E$10,3,FALSE)</f>
        <v>liszzm@naver.com</v>
      </c>
      <c r="E11">
        <f>VLOOKUP(A11,Suppliers!$A$2:$E$10,4,FALSE)</f>
        <v>2</v>
      </c>
    </row>
    <row r="12">
      <c r="A12" t="str">
        <v>프레시미트코리아</v>
      </c>
      <c r="B12">
        <f>COUNTIFS(Inventory!$H$2:$H$11,A12,Inventory!$N$2:$N$11,"발주 필요")</f>
        <v>1</v>
      </c>
      <c r="C12">
        <f>SUMIFS(Inventory!$M$2:$M$11,Inventory!$H$2:$H$11,A12,Inventory!$N$2:$N$11,"발주 필요")</f>
        <v>10</v>
      </c>
      <c r="D12" t="str">
        <f>VLOOKUP(A12,Suppliers!$A$2:$E$10,3,FALSE)</f>
        <v>liszzm@naver.com</v>
      </c>
      <c r="E12">
        <f>VLOOKUP(A12,Suppliers!$A$2:$E$10,4,FALSE)</f>
        <v>3</v>
      </c>
    </row>
    <row r="13">
      <c r="A13" t="str">
        <v>그린베지유통</v>
      </c>
      <c r="B13">
        <f>COUNTIFS(Inventory!$H$2:$H$11,A13,Inventory!$N$2:$N$11,"발주 필요")</f>
        <v>2</v>
      </c>
      <c r="C13">
        <f>SUMIFS(Inventory!$M$2:$M$11,Inventory!$H$2:$H$11,A13,Inventory!$N$2:$N$11,"발주 필요")</f>
        <v>11</v>
      </c>
      <c r="D13" t="str">
        <f>VLOOKUP(A13,Suppliers!$A$2:$E$10,3,FALSE)</f>
        <v>liszzm@naver.com</v>
      </c>
      <c r="E13">
        <f>VLOOKUP(A13,Suppliers!$A$2:$E$10,4,FALSE)</f>
        <v>1</v>
      </c>
    </row>
    <row r="14">
      <c r="A14" t="str">
        <v>토핑솔루션</v>
      </c>
      <c r="B14">
        <f>COUNTIFS(Inventory!$H$2:$H$11,A14,Inventory!$N$2:$N$11,"발주 필요")</f>
        <v>1</v>
      </c>
      <c r="C14">
        <f>SUMIFS(Inventory!$M$2:$M$11,Inventory!$H$2:$H$11,A14,Inventory!$N$2:$N$11,"발주 필요")</f>
        <v>6</v>
      </c>
      <c r="D14" t="str">
        <f>VLOOKUP(A14,Suppliers!$A$2:$E$10,3,FALSE)</f>
        <v>liszzm@naver.com</v>
      </c>
      <c r="E14">
        <f>VLOOKUP(A14,Suppliers!$A$2:$E$10,4,FALSE)</f>
        <v>2</v>
      </c>
    </row>
  </sheetData>
  <mergeCells count="2">
    <mergeCell ref="A8:H8"/>
    <mergeCell ref="A1:H1"/>
  </mergeCells>
  <pageMargins left="0.7" right="0.7" top="0.75" bottom="0.75" header="0.3" footer="0.3"/>
  <ignoredErrors>
    <ignoredError numberStoredAsText="1" sqref="A1:H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2"/>
  <sheetViews>
    <sheetView workbookViewId="0" rightToLeft="0"/>
  </sheetViews>
  <sheetData>
    <row r="1">
      <c r="A1" t="str">
        <v>발주 이메일 템플릿</v>
      </c>
    </row>
    <row r="3">
      <c r="A3" t="str">
        <v>제목 템플릿</v>
      </c>
      <c r="B3" t="str">
        <v>[발주요청] {{STORE_NAME}} / {{SUPPLIER_NAME}} / {{ORDER_DATE}}</v>
      </c>
    </row>
    <row r="5" xml:space="preserve">
      <c r="A5" t="str">
        <v>본문 템플릿</v>
      </c>
      <c r="B5" t="str" xml:space="preserve">
        <v xml:space="preserve">안녕하세요 {{SUPPLIER_NAME}} 담당자님._x000d_
_x000d_
도미노피자 {{STORE_NAME}}입니다._x000d_
아래 품목에 대해 발주 요청드립니다._x000d_
_x000d_
{{ITEM_LIST}}_x000d_
_x000d_
첨부한 발주서 확인 부탁드립니다._x000d_
감사합니다._x000d_
{{INTERNAL_OWNER}}</v>
      </c>
    </row>
  </sheetData>
  <mergeCells count="3">
    <mergeCell ref="B5:F12"/>
    <mergeCell ref="A1:F1"/>
    <mergeCell ref="B3:F3"/>
  </mergeCells>
  <pageMargins left="0.7" right="0.7" top="0.75" bottom="0.75" header="0.3" footer="0.3"/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Guide</vt:lpstr>
      <vt:lpstr>Suppliers</vt:lpstr>
      <vt:lpstr>Inventory</vt:lpstr>
      <vt:lpstr>OrderSummary</vt:lpstr>
      <vt:lpstr>EmailTemplate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2026-03-07T10:35:51Z</dcterms:modified>
  <cp:lastModifiedBy>이인섭</cp:lastModifiedBy>
</cp:coreProperties>
</file>